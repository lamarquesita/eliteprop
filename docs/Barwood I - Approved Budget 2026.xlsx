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sl\Elitepropmgt Dropbox\Elitepropmgt Team Folder\Barwood\Barwood I\Budgets\"/>
    </mc:Choice>
  </mc:AlternateContent>
  <xr:revisionPtr revIDLastSave="0" documentId="8_{D3C4F64C-FEAB-4E60-934C-29CF33985E33}" xr6:coauthVersionLast="47" xr6:coauthVersionMax="47" xr10:uidLastSave="{00000000-0000-0000-0000-000000000000}"/>
  <bookViews>
    <workbookView xWindow="20630" yWindow="290" windowWidth="17280" windowHeight="8770" xr2:uid="{3EE1EFB2-DD8B-4937-81A6-8A8892F34F13}"/>
  </bookViews>
  <sheets>
    <sheet name="Sheet1" sheetId="1" r:id="rId1"/>
  </sheets>
  <definedNames>
    <definedName name="_xlnm.Print_Area" localSheetId="0">Sheet1!$A$1:$C$38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9" i="1"/>
  <c r="B27" i="1"/>
  <c r="C33" i="1"/>
  <c r="B33" i="1"/>
  <c r="B35" i="1" l="1"/>
  <c r="C35" i="1"/>
</calcChain>
</file>

<file path=xl/sharedStrings.xml><?xml version="1.0" encoding="utf-8"?>
<sst xmlns="http://schemas.openxmlformats.org/spreadsheetml/2006/main" count="32" uniqueCount="32">
  <si>
    <t>PROJECTED BUDGET - 2026</t>
  </si>
  <si>
    <t>PROPOSED</t>
  </si>
  <si>
    <t>Janitorial</t>
  </si>
  <si>
    <t>Tree Trimming</t>
  </si>
  <si>
    <t>Website</t>
  </si>
  <si>
    <t>TOTALS</t>
  </si>
  <si>
    <t>APPROVED BUDGET</t>
  </si>
  <si>
    <t>TOTAL RESERVES EXPENSES</t>
  </si>
  <si>
    <t>TOTAL OVERALL EXPENSES</t>
  </si>
  <si>
    <t>Cable TV</t>
  </si>
  <si>
    <t>Electric</t>
  </si>
  <si>
    <t>Insurance - Hazard</t>
  </si>
  <si>
    <t>Property Management</t>
  </si>
  <si>
    <t>Office Expense</t>
  </si>
  <si>
    <t>Trash Removal</t>
  </si>
  <si>
    <t>Water</t>
  </si>
  <si>
    <t>SIRS Reserves</t>
  </si>
  <si>
    <t>Elevator Reserves</t>
  </si>
  <si>
    <t>TOTAL MONTHLY DUES PER UNIT</t>
  </si>
  <si>
    <t>BCIA</t>
  </si>
  <si>
    <t>Landscaping</t>
  </si>
  <si>
    <t>Pest Control</t>
  </si>
  <si>
    <t>BARWOOD CONDO I</t>
  </si>
  <si>
    <t>Accounting</t>
  </si>
  <si>
    <t>Legal/Licenses/Fees</t>
  </si>
  <si>
    <t>President</t>
  </si>
  <si>
    <t>Security Cameras</t>
  </si>
  <si>
    <t>Elevator - Maintenance</t>
  </si>
  <si>
    <t>Elevator - Phone</t>
  </si>
  <si>
    <t>Insurance - Liab</t>
  </si>
  <si>
    <t>Propane Gas</t>
  </si>
  <si>
    <t>Repairs &amp;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</si>
</sst>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0C0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5" xfId="0" applyFont="1" applyBorder="1" applyAlignment="1">
      <alignment vertical="center"/>
    </xf>
    <xf numFmtId="6" fontId="5" fillId="0" borderId="1" xfId="0" applyNumberFormat="1" applyFont="1" applyBorder="1" applyAlignment="1">
      <alignment horizontal="right" wrapText="1"/>
    </xf>
    <xf numFmtId="0" fontId="5" fillId="0" borderId="5" xfId="0" applyFont="1" applyBorder="1" applyAlignment="1">
      <alignment wrapText="1"/>
    </xf>
    <xf numFmtId="164" fontId="4" fillId="2" borderId="1" xfId="1" applyNumberFormat="1" applyFont="1" applyFill="1" applyBorder="1" applyAlignment="1">
      <alignment horizontal="right" wrapText="1"/>
    </xf>
    <xf numFmtId="164" fontId="4" fillId="3" borderId="1" xfId="1" applyNumberFormat="1" applyFont="1" applyFill="1" applyBorder="1" applyAlignment="1">
      <alignment horizontal="right" wrapText="1"/>
    </xf>
    <xf numFmtId="164" fontId="5" fillId="0" borderId="1" xfId="1" applyNumberFormat="1" applyFont="1" applyBorder="1" applyAlignment="1">
      <alignment horizontal="right" wrapText="1"/>
    </xf>
    <xf numFmtId="164" fontId="2" fillId="0" borderId="1" xfId="1" applyNumberFormat="1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99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4BCF-5D14-4115-8209-D36F42B88FB5}">
  <sheetPr>
    <pageSetUpPr fitToPage="1"/>
  </sheetPr>
  <dimension ref="A1:C38"/>
  <sheetViews>
    <sheetView tabSelected="1" zoomScaleNormal="100" workbookViewId="0">
      <selection activeCell="A2" sqref="A2:C2"/>
    </sheetView>
  </sheetViews>
  <sheetFormatPr defaultRowHeight="14.4" x14ac:dyDescent="0.3"/>
  <cols>
    <col min="1" max="1" width="38.44140625" customWidth="1"/>
    <col min="2" max="2" width="21" customWidth="1"/>
    <col min="3" max="3" width="22.5546875" customWidth="1"/>
  </cols>
  <sheetData>
    <row r="1" spans="1:3" ht="23.4" thickBot="1" x14ac:dyDescent="0.45">
      <c r="A1" s="14" t="s">
        <v>22</v>
      </c>
      <c r="B1" s="15"/>
      <c r="C1" s="16"/>
    </row>
    <row r="2" spans="1:3" ht="45.6" customHeight="1" thickBot="1" x14ac:dyDescent="0.45">
      <c r="A2" s="14" t="s">
        <v>0</v>
      </c>
      <c r="B2" s="15"/>
      <c r="C2" s="16"/>
    </row>
    <row r="3" spans="1:3" ht="15" thickBot="1" x14ac:dyDescent="0.35">
      <c r="A3" s="1"/>
      <c r="B3" s="1"/>
      <c r="C3" s="1"/>
    </row>
    <row r="4" spans="1:3" ht="35.4" thickBot="1" x14ac:dyDescent="0.35">
      <c r="A4" s="1"/>
      <c r="B4" s="2" t="s">
        <v>6</v>
      </c>
      <c r="C4" s="2" t="s">
        <v>1</v>
      </c>
    </row>
    <row r="5" spans="1:3" ht="18" thickBot="1" x14ac:dyDescent="0.35">
      <c r="A5" s="3"/>
      <c r="B5" s="4">
        <v>2025</v>
      </c>
      <c r="C5" s="4">
        <v>2026</v>
      </c>
    </row>
    <row r="6" spans="1:3" ht="16.2" thickBot="1" x14ac:dyDescent="0.35">
      <c r="A6" s="5" t="s">
        <v>23</v>
      </c>
      <c r="B6" s="10">
        <v>0</v>
      </c>
      <c r="C6" s="11">
        <v>1100</v>
      </c>
    </row>
    <row r="7" spans="1:3" ht="16.2" thickBot="1" x14ac:dyDescent="0.35">
      <c r="A7" s="5" t="s">
        <v>9</v>
      </c>
      <c r="B7" s="10">
        <v>24000</v>
      </c>
      <c r="C7" s="11">
        <v>25659.719999999998</v>
      </c>
    </row>
    <row r="8" spans="1:3" ht="16.2" thickBot="1" x14ac:dyDescent="0.35">
      <c r="A8" s="5" t="s">
        <v>10</v>
      </c>
      <c r="B8" s="10">
        <v>5000</v>
      </c>
      <c r="C8" s="11">
        <v>4500</v>
      </c>
    </row>
    <row r="9" spans="1:3" ht="16.2" thickBot="1" x14ac:dyDescent="0.35">
      <c r="A9" s="5" t="s">
        <v>27</v>
      </c>
      <c r="B9" s="10">
        <v>3500</v>
      </c>
      <c r="C9" s="11">
        <v>2000</v>
      </c>
    </row>
    <row r="10" spans="1:3" ht="16.2" thickBot="1" x14ac:dyDescent="0.35">
      <c r="A10" s="5" t="s">
        <v>28</v>
      </c>
      <c r="B10" s="10">
        <v>700</v>
      </c>
      <c r="C10" s="11">
        <v>720</v>
      </c>
    </row>
    <row r="11" spans="1:3" ht="16.2" thickBot="1" x14ac:dyDescent="0.35">
      <c r="A11" s="5" t="s">
        <v>11</v>
      </c>
      <c r="B11" s="10">
        <v>50000</v>
      </c>
      <c r="C11" s="11">
        <v>28000</v>
      </c>
    </row>
    <row r="12" spans="1:3" ht="16.2" thickBot="1" x14ac:dyDescent="0.35">
      <c r="A12" s="5" t="s">
        <v>29</v>
      </c>
      <c r="B12" s="10">
        <v>14000</v>
      </c>
      <c r="C12" s="11">
        <v>11000</v>
      </c>
    </row>
    <row r="13" spans="1:3" ht="16.2" thickBot="1" x14ac:dyDescent="0.35">
      <c r="A13" s="5" t="s">
        <v>2</v>
      </c>
      <c r="B13" s="10">
        <v>8000</v>
      </c>
      <c r="C13" s="11">
        <v>7500</v>
      </c>
    </row>
    <row r="14" spans="1:3" ht="16.2" thickBot="1" x14ac:dyDescent="0.35">
      <c r="A14" s="5" t="s">
        <v>20</v>
      </c>
      <c r="B14" s="10">
        <v>1200</v>
      </c>
      <c r="C14" s="11">
        <v>1500</v>
      </c>
    </row>
    <row r="15" spans="1:3" ht="16.2" thickBot="1" x14ac:dyDescent="0.35">
      <c r="A15" s="5" t="s">
        <v>24</v>
      </c>
      <c r="B15" s="10">
        <v>200</v>
      </c>
      <c r="C15" s="11">
        <v>200</v>
      </c>
    </row>
    <row r="16" spans="1:3" ht="16.2" thickBot="1" x14ac:dyDescent="0.35">
      <c r="A16" s="5" t="s">
        <v>13</v>
      </c>
      <c r="B16" s="10">
        <v>100</v>
      </c>
      <c r="C16" s="11">
        <v>300</v>
      </c>
    </row>
    <row r="17" spans="1:3" ht="16.2" thickBot="1" x14ac:dyDescent="0.35">
      <c r="A17" s="5" t="s">
        <v>21</v>
      </c>
      <c r="B17" s="10">
        <v>900</v>
      </c>
      <c r="C17" s="11">
        <v>1000</v>
      </c>
    </row>
    <row r="18" spans="1:3" ht="16.2" thickBot="1" x14ac:dyDescent="0.35">
      <c r="A18" s="5" t="s">
        <v>25</v>
      </c>
      <c r="B18" s="10">
        <v>1200</v>
      </c>
      <c r="C18" s="11">
        <v>1200</v>
      </c>
    </row>
    <row r="19" spans="1:3" ht="16.2" thickBot="1" x14ac:dyDescent="0.35">
      <c r="A19" s="5" t="s">
        <v>30</v>
      </c>
      <c r="B19" s="10">
        <v>18000</v>
      </c>
      <c r="C19" s="11">
        <v>17000</v>
      </c>
    </row>
    <row r="20" spans="1:3" ht="16.2" thickBot="1" x14ac:dyDescent="0.35">
      <c r="A20" s="5" t="s">
        <v>12</v>
      </c>
      <c r="B20" s="10">
        <v>7000</v>
      </c>
      <c r="C20" s="11">
        <v>7200</v>
      </c>
    </row>
    <row r="21" spans="1:3" ht="16.2" thickBot="1" x14ac:dyDescent="0.35">
      <c r="A21" s="5" t="s">
        <v>31</v>
      </c>
      <c r="B21" s="10">
        <v>10000</v>
      </c>
      <c r="C21" s="11">
        <v>19000</v>
      </c>
    </row>
    <row r="22" spans="1:3" ht="16.2" thickBot="1" x14ac:dyDescent="0.35">
      <c r="A22" s="5" t="s">
        <v>26</v>
      </c>
      <c r="B22" s="10">
        <v>2400</v>
      </c>
      <c r="C22" s="11">
        <v>3000</v>
      </c>
    </row>
    <row r="23" spans="1:3" ht="16.2" thickBot="1" x14ac:dyDescent="0.35">
      <c r="A23" s="5" t="s">
        <v>14</v>
      </c>
      <c r="B23" s="10">
        <v>200</v>
      </c>
      <c r="C23" s="11">
        <v>576</v>
      </c>
    </row>
    <row r="24" spans="1:3" ht="16.2" thickBot="1" x14ac:dyDescent="0.35">
      <c r="A24" s="5" t="s">
        <v>3</v>
      </c>
      <c r="B24" s="10">
        <v>500</v>
      </c>
      <c r="C24" s="11">
        <v>1500</v>
      </c>
    </row>
    <row r="25" spans="1:3" ht="16.2" thickBot="1" x14ac:dyDescent="0.35">
      <c r="A25" s="5" t="s">
        <v>15</v>
      </c>
      <c r="B25" s="10">
        <v>18000</v>
      </c>
      <c r="C25" s="11">
        <v>20000</v>
      </c>
    </row>
    <row r="26" spans="1:3" ht="16.2" thickBot="1" x14ac:dyDescent="0.35">
      <c r="A26" s="5" t="s">
        <v>4</v>
      </c>
      <c r="B26" s="10">
        <v>800</v>
      </c>
      <c r="C26" s="11">
        <v>0</v>
      </c>
    </row>
    <row r="27" spans="1:3" ht="16.2" thickBot="1" x14ac:dyDescent="0.35">
      <c r="A27" s="6" t="s">
        <v>5</v>
      </c>
      <c r="B27" s="12">
        <f>SUM(B7:B26)</f>
        <v>165700</v>
      </c>
      <c r="C27" s="12">
        <f>SUM(C6:C26)</f>
        <v>152955.72</v>
      </c>
    </row>
    <row r="28" spans="1:3" ht="15" thickBot="1" x14ac:dyDescent="0.35">
      <c r="A28" s="1"/>
      <c r="B28" s="13"/>
      <c r="C28" s="13"/>
    </row>
    <row r="29" spans="1:3" ht="16.2" thickBot="1" x14ac:dyDescent="0.35">
      <c r="A29" s="5" t="s">
        <v>19</v>
      </c>
      <c r="B29" s="10">
        <v>48132</v>
      </c>
      <c r="C29" s="11">
        <f>3784*12</f>
        <v>45408</v>
      </c>
    </row>
    <row r="30" spans="1:3" ht="15" thickBot="1" x14ac:dyDescent="0.35">
      <c r="A30" s="1"/>
      <c r="B30" s="13"/>
      <c r="C30" s="13"/>
    </row>
    <row r="31" spans="1:3" ht="16.2" thickBot="1" x14ac:dyDescent="0.35">
      <c r="A31" s="5" t="s">
        <v>16</v>
      </c>
      <c r="B31" s="10">
        <v>30240</v>
      </c>
      <c r="C31" s="11">
        <v>30240</v>
      </c>
    </row>
    <row r="32" spans="1:3" ht="16.2" thickBot="1" x14ac:dyDescent="0.35">
      <c r="A32" s="5" t="s">
        <v>17</v>
      </c>
      <c r="B32" s="10">
        <v>12960</v>
      </c>
      <c r="C32" s="11">
        <v>12960</v>
      </c>
    </row>
    <row r="33" spans="1:3" ht="16.2" thickBot="1" x14ac:dyDescent="0.35">
      <c r="A33" s="6" t="s">
        <v>7</v>
      </c>
      <c r="B33" s="12">
        <f>SUM(B31:B32)</f>
        <v>43200</v>
      </c>
      <c r="C33" s="12">
        <f>SUM(C31:C32)</f>
        <v>43200</v>
      </c>
    </row>
    <row r="34" spans="1:3" ht="15" thickBot="1" x14ac:dyDescent="0.35">
      <c r="A34" s="1"/>
      <c r="B34" s="13"/>
      <c r="C34" s="13"/>
    </row>
    <row r="35" spans="1:3" ht="16.2" thickBot="1" x14ac:dyDescent="0.35">
      <c r="A35" s="6" t="s">
        <v>8</v>
      </c>
      <c r="B35" s="12">
        <f>B27+B29+B33</f>
        <v>257032</v>
      </c>
      <c r="C35" s="12">
        <f>C27+C29+C33</f>
        <v>241563.72</v>
      </c>
    </row>
    <row r="36" spans="1:3" ht="15" thickBot="1" x14ac:dyDescent="0.35"/>
    <row r="37" spans="1:3" ht="16.2" thickBot="1" x14ac:dyDescent="0.35">
      <c r="A37" s="7" t="s">
        <v>18</v>
      </c>
      <c r="B37" s="9">
        <v>2025</v>
      </c>
      <c r="C37" s="9">
        <v>2026</v>
      </c>
    </row>
    <row r="38" spans="1:3" ht="16.2" thickBot="1" x14ac:dyDescent="0.35">
      <c r="A38" s="6"/>
      <c r="B38" s="8">
        <v>595</v>
      </c>
      <c r="C38" s="8">
        <v>560</v>
      </c>
    </row>
  </sheetData>
  <mergeCells count="2">
    <mergeCell ref="A1:C1"/>
    <mergeCell ref="A2:C2"/>
  </mergeCells>
  <pageMargins left="0.7" right="0.7" top="0.75" bottom="0.75" header="0.3" footer="0.3"/>
  <pageSetup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Land</dc:creator>
  <cp:lastModifiedBy>Ian Land</cp:lastModifiedBy>
  <cp:lastPrinted>2025-10-28T00:47:40Z</cp:lastPrinted>
  <dcterms:created xsi:type="dcterms:W3CDTF">2025-10-27T16:11:52Z</dcterms:created>
  <dcterms:modified xsi:type="dcterms:W3CDTF">2026-01-07T01:39:07Z</dcterms:modified>
</cp:coreProperties>
</file>